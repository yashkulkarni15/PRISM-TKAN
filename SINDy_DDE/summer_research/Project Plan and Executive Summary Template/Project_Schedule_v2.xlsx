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yash/Downloads/PRI2M/Summer Research/Project Plan and Executive Summary Template/"/>
    </mc:Choice>
  </mc:AlternateContent>
  <xr:revisionPtr revIDLastSave="0" documentId="8_{2874C847-79A5-144D-B281-645167854B41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<sst xmlns="http://schemas.openxmlformats.org/spreadsheetml/2006/main" count="117" uniqueCount="93">
  <si>
    <t>Phase</t>
  </si>
  <si>
    <t>Task / Sub-Task</t>
  </si>
  <si>
    <t>Start Date</t>
  </si>
  <si>
    <t>End Date</t>
  </si>
  <si>
    <t>Hours</t>
  </si>
  <si>
    <t>Phase 1
Setup &amp;
Literature</t>
  </si>
  <si>
    <t>1.1  Literature review: T-KAN, DDE-PINNs, power spectra in machining, KL divergence as physics metric, PySR symbolic regression</t>
  </si>
  <si>
    <t>May 1, 2026</t>
  </si>
  <si>
    <t>May 7, 2026</t>
  </si>
  <si>
    <t>1.2  Configure Great Lakes HPC pipeline; verify pykan, T-KAN, PySR dependencies</t>
  </si>
  <si>
    <t>1.3  Build ground-truth DDE simulator from Altintas-Budak stability equations</t>
  </si>
  <si>
    <t>May 8, 2026</t>
  </si>
  <si>
    <t>May 14, 2026</t>
  </si>
  <si>
    <t>1.4  Select 4 representative datasets (damped, high-fn, multi-tooth, noisy) for Phase 3 dev</t>
  </si>
  <si>
    <t>Phase 2
Power Spectra
&amp; KL Divergence</t>
  </si>
  <si>
    <t>2.1  Compute power spectral density (PSD) of xtpos and Forcex signals for all 60 clean datasets</t>
  </si>
  <si>
    <t>May 15, 2026</t>
  </si>
  <si>
    <t>May 19, 2026</t>
  </si>
  <si>
    <t>2.2  Plot stable vs unstable PSD profiles per dataset; identify tooth-pass and chatter frequency peaks</t>
  </si>
  <si>
    <t>May 21, 2026</t>
  </si>
  <si>
    <t>2.3  Compute KL divergence between stable and unstable PSD distributions per dataset and per b/blim bin</t>
  </si>
  <si>
    <t>May 22, 2026</t>
  </si>
  <si>
    <t>May 26, 2026</t>
  </si>
  <si>
    <t>2.4  Validate: confirm KL divergence is significantly higher near b/blim = 1.0; package as stability-aware loss signal for Phase 3</t>
  </si>
  <si>
    <t>May 28, 2026</t>
  </si>
  <si>
    <t>Phase 3
Core
T-KAN-PINN</t>
  </si>
  <si>
    <t>3.1  Install and configure T-KAN; build baseline temporal KAN architecture for second-order dynamics</t>
  </si>
  <si>
    <t>3.2  Formulate DDE residual loss with delay-embedded collocation points (data loss + physics residual + BC loss)</t>
  </si>
  <si>
    <t>May 29, 2026</t>
  </si>
  <si>
    <t>Jun 4, 2026</t>
  </si>
  <si>
    <t>3.3  Residual physics formulation: T-KAN learns only the nonlinear cutting-force and regenerative coupling terms</t>
  </si>
  <si>
    <t>3.4  Add stability-aware KL divergence loss term using PSD profiles from Phase 2</t>
  </si>
  <si>
    <t>Jun 5, 2026</t>
  </si>
  <si>
    <t>Jun 11, 2026</t>
  </si>
  <si>
    <t>3.5  Implement learnable delay tau (inferred from data, not hardcoded as 60 / (omega * teeth))</t>
  </si>
  <si>
    <t>3.6  Train on one stable and one unstable single dataset; verify chatter reproduction in predicted trajectory</t>
  </si>
  <si>
    <t>Jun 12, 2026</t>
  </si>
  <si>
    <t>Jun 18, 2026</t>
  </si>
  <si>
    <t>3.7  Debug: collocation density, delay initialisation, gradient instabilities, KL loss weight schedule</t>
  </si>
  <si>
    <t>Phase 4
Conditional
Forward</t>
  </si>
  <si>
    <t>4.1  Extend to conditional architecture accepting omega, b, ktc, teeth, fn, damping alongside time-series window</t>
  </si>
  <si>
    <t>Jun 19, 2026</t>
  </si>
  <si>
    <t>Jun 25, 2026</t>
  </si>
  <si>
    <t>4.2  Train on all 60 clean datasets with leave-dataset-out validation; GroupKFold strategy</t>
  </si>
  <si>
    <t>Jun 28, 2026</t>
  </si>
  <si>
    <t>4.3  Compare predicted trajectories against held-out files; overlay reconstructed stability lobes vs Altintas-Budak</t>
  </si>
  <si>
    <t>Jun 29, 2026</t>
  </si>
  <si>
    <t>Jul 2, 2026</t>
  </si>
  <si>
    <t>Phase 5
Inverse
Problem</t>
  </si>
  <si>
    <t>5.1  Set up adjoint-based parameter inference pipeline for ktc, fn, damping through trained T-KAN-PINN</t>
  </si>
  <si>
    <t>Jul 5, 2026</t>
  </si>
  <si>
    <t>5.2  Validate inferred parameters against ground-truth metadata across all 60 datasets; report per-dataset error</t>
  </si>
  <si>
    <t>Jul 6, 2026</t>
  </si>
  <si>
    <t>Jul 9, 2026</t>
  </si>
  <si>
    <t>5.3  Reconstruct stability lobes from inferred parameters; compare vs Altintas-Budak prediction</t>
  </si>
  <si>
    <t>Jul 10, 2026</t>
  </si>
  <si>
    <t>Jul 12, 2026</t>
  </si>
  <si>
    <t>Phase 6
PySR Symbolic
Extraction</t>
  </si>
  <si>
    <t>6.1  Configure PySR with milling-specific operator library (polynomial, sinusoidal, time-shifted) and BIC parsimony penalty</t>
  </si>
  <si>
    <t>Jul 13, 2026</t>
  </si>
  <si>
    <t>Jul 16, 2026</t>
  </si>
  <si>
    <t>6.2  Run PySR on T-KAN edge activation functions across all conditioning regimes</t>
  </si>
  <si>
    <t>Jul 20, 2026</t>
  </si>
  <si>
    <t>6.3  Search extracted expressions for regenerative term x(t) - x(t - tau) without explicit hardcoding</t>
  </si>
  <si>
    <t>Jul 21, 2026</t>
  </si>
  <si>
    <t>Jul 24, 2026</t>
  </si>
  <si>
    <t>6.4  Compute R² between extracted expressions and validated DDE structure; compare against E-SINDy baseline</t>
  </si>
  <si>
    <t>Jul 26, 2026</t>
  </si>
  <si>
    <t>Phase 7
Noise
Robustness</t>
  </si>
  <si>
    <t>7.1  Fine-tune on 1% noise datasets 61-90 starting from clean pretrained T-KAN-PINN checkpoint</t>
  </si>
  <si>
    <t>Jul 27, 2026</t>
  </si>
  <si>
    <t>Jul 30, 2026</t>
  </si>
  <si>
    <t>7.2  Fine-tune on 5% noise datasets 91-120</t>
  </si>
  <si>
    <t>Jul 31, 2026</t>
  </si>
  <si>
    <t>Aug 2, 2026</t>
  </si>
  <si>
    <t>7.3  Report trajectory accuracy, parameter error, PySR fidelity, and KL discrimination at 0%, 1%, 5% noise</t>
  </si>
  <si>
    <t>Phase 8
Ablations
&amp; XAI</t>
  </si>
  <si>
    <t>8.1  Ablation matrix: T-KAN vs MLP, KL loss on/off, residual physics on/off, learnable vs hardcoded delay</t>
  </si>
  <si>
    <t>Aug 3, 2026</t>
  </si>
  <si>
    <t>Aug 7, 2026</t>
  </si>
  <si>
    <t>8.2  DiCE counterfactuals on T-KAN-PINN inputs (omega, b) for 10+ unstable operating points</t>
  </si>
  <si>
    <t>Aug 5, 2026</t>
  </si>
  <si>
    <t>Aug 8, 2026</t>
  </si>
  <si>
    <t>8.3  Monte Carlo drift: perturb fn ±5%, ktc ±10%, damping ±15% (N=500); report survival rates</t>
  </si>
  <si>
    <t>Aug 9, 2026</t>
  </si>
  <si>
    <t>Phase 9
Writeup</t>
  </si>
  <si>
    <t>9.1  Draft technical report: intro, method, results, ablations, discussion, future work</t>
  </si>
  <si>
    <t>Aug 10, 2026</t>
  </si>
  <si>
    <t>Aug 13, 2026</t>
  </si>
  <si>
    <t>9.2  NeurIPS ML4PS workshop paper draft (4-page format)</t>
  </si>
  <si>
    <t>Aug 15, 2026</t>
  </si>
  <si>
    <t>9.3  Review with Prof. Abell, incorporate feedback, finalise and submit technical report</t>
  </si>
  <si>
    <t>Total Estimated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</si>
</sst>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2"/>
      <color theme="1"/>
      <name val="Calibri"/>
      <family val="2"/>
      <charset val="1"/>
    </font>
    <font>
      <b/>
      <sz val="12"/>
      <color rgb="FFFFFFFF"/>
      <name val="Calibri"/>
      <charset val="1"/>
    </font>
    <font>
      <b/>
      <sz val="16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EF9E7"/>
      </patternFill>
    </fill>
    <fill>
      <patternFill patternType="solid">
        <fgColor rgb="FF002060"/>
        <bgColor rgb="FF000080"/>
      </patternFill>
    </fill>
    <fill>
      <patternFill patternType="solid">
        <fgColor rgb="FFF4F6F7"/>
        <bgColor rgb="FFF0F3FF"/>
      </patternFill>
    </fill>
    <fill>
      <patternFill patternType="solid">
        <fgColor rgb="FFEBF3FB"/>
        <bgColor rgb="FFF0F3FF"/>
      </patternFill>
    </fill>
    <fill>
      <patternFill patternType="solid">
        <fgColor rgb="FFFEF9E7"/>
        <bgColor rgb="FFFDF2E9"/>
      </patternFill>
    </fill>
    <fill>
      <patternFill patternType="solid">
        <fgColor rgb="FFEAFAF1"/>
        <bgColor rgb="FFE8F8F5"/>
      </patternFill>
    </fill>
    <fill>
      <patternFill patternType="solid">
        <fgColor rgb="FFF5EEF8"/>
        <bgColor rgb="FFF0F3FF"/>
      </patternFill>
    </fill>
    <fill>
      <patternFill patternType="solid">
        <fgColor rgb="FFFDF2E9"/>
        <bgColor rgb="FFFDEDEC"/>
      </patternFill>
    </fill>
    <fill>
      <patternFill patternType="solid">
        <fgColor rgb="FFE8F8F5"/>
        <bgColor rgb="FFEAFAF1"/>
      </patternFill>
    </fill>
    <fill>
      <patternFill patternType="solid">
        <fgColor rgb="FFFDEDEC"/>
        <bgColor rgb="FFFDF2E9"/>
      </patternFill>
    </fill>
    <fill>
      <patternFill patternType="solid">
        <fgColor rgb="FFF0F3FF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2" borderId="0" xfId="0" applyFill="1"/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164" fontId="4" fillId="6" borderId="1" xfId="0" applyNumberFormat="1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9E7"/>
      <rgbColor rgb="FFE8F8F5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EBF3FB"/>
      <rgbColor rgb="FFFDF2E9"/>
      <rgbColor rgb="FFF0F3FF"/>
      <rgbColor rgb="FFF4F6F7"/>
      <rgbColor rgb="FFCC99FF"/>
      <rgbColor rgb="FFFDED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1" sqref="H11"/>
    </sheetView>
  </sheetViews>
  <sheetFormatPr baseColWidth="10" defaultColWidth="10.6640625" defaultRowHeight="16" x14ac:dyDescent="0.2"/>
  <cols>
    <col min="1" max="1" width="2" style="11" customWidth="1"/>
    <col min="2" max="2" width="13.83203125" bestFit="1" customWidth="1"/>
    <col min="3" max="3" width="68" customWidth="1"/>
    <col min="4" max="5" width="16" customWidth="1"/>
    <col min="6" max="6" width="10" customWidth="1"/>
    <col min="7" max="30" width="10.83203125" style="11" customWidth="1"/>
  </cols>
  <sheetData>
    <row r="1" spans="2:6" ht="21.75" customHeight="1" x14ac:dyDescent="0.2">
      <c r="B1" s="12" t="s">
        <v>0</v>
      </c>
      <c r="C1" s="12" t="s">
        <v>1</v>
      </c>
      <c r="D1" s="13" t="s">
        <v>2</v>
      </c>
      <c r="E1" s="13" t="s">
        <v>3</v>
      </c>
      <c r="F1" s="13" t="s">
        <v>4</v>
      </c>
    </row>
    <row r="2" spans="2:6" ht="3.75" customHeight="1" x14ac:dyDescent="0.2">
      <c r="B2" s="14"/>
      <c r="C2" s="14"/>
      <c r="D2" s="14"/>
      <c r="E2" s="14"/>
      <c r="F2" s="14"/>
    </row>
    <row r="3" spans="2:6" ht="39.75" customHeight="1" x14ac:dyDescent="0.2">
      <c r="B3" s="10" t="s">
        <v>5</v>
      </c>
      <c r="C3" s="15" t="s">
        <v>6</v>
      </c>
      <c r="D3" s="16" t="s">
        <v>7</v>
      </c>
      <c r="E3" s="16" t="s">
        <v>8</v>
      </c>
      <c r="F3" s="17">
        <v>7</v>
      </c>
    </row>
    <row r="4" spans="2:6" ht="39.75" customHeight="1" x14ac:dyDescent="0.2">
      <c r="B4" s="10"/>
      <c r="C4" s="15" t="s">
        <v>9</v>
      </c>
      <c r="D4" s="16" t="s">
        <v>7</v>
      </c>
      <c r="E4" s="16" t="s">
        <v>8</v>
      </c>
      <c r="F4" s="17">
        <v>5</v>
      </c>
    </row>
    <row r="5" spans="2:6" ht="39.75" customHeight="1" x14ac:dyDescent="0.2">
      <c r="B5" s="10"/>
      <c r="C5" s="15" t="s">
        <v>10</v>
      </c>
      <c r="D5" s="16" t="s">
        <v>11</v>
      </c>
      <c r="E5" s="16" t="s">
        <v>12</v>
      </c>
      <c r="F5" s="17">
        <v>5</v>
      </c>
    </row>
    <row r="6" spans="2:6" ht="39.75" customHeight="1" x14ac:dyDescent="0.2">
      <c r="B6" s="10"/>
      <c r="C6" s="15" t="s">
        <v>13</v>
      </c>
      <c r="D6" s="16" t="s">
        <v>11</v>
      </c>
      <c r="E6" s="16" t="s">
        <v>12</v>
      </c>
      <c r="F6" s="17">
        <v>3</v>
      </c>
    </row>
    <row r="7" spans="2:6" ht="39.75" customHeight="1" x14ac:dyDescent="0.2">
      <c r="B7" s="9" t="s">
        <v>14</v>
      </c>
      <c r="C7" s="18" t="s">
        <v>15</v>
      </c>
      <c r="D7" s="19" t="s">
        <v>16</v>
      </c>
      <c r="E7" s="19" t="s">
        <v>17</v>
      </c>
      <c r="F7" s="20">
        <v>8</v>
      </c>
    </row>
    <row r="8" spans="2:6" ht="39.75" customHeight="1" x14ac:dyDescent="0.2">
      <c r="B8" s="9"/>
      <c r="C8" s="18" t="s">
        <v>18</v>
      </c>
      <c r="D8" s="19" t="s">
        <v>16</v>
      </c>
      <c r="E8" s="19" t="s">
        <v>19</v>
      </c>
      <c r="F8" s="20">
        <v>5</v>
      </c>
    </row>
    <row r="9" spans="2:6" ht="39.75" customHeight="1" x14ac:dyDescent="0.2">
      <c r="B9" s="9"/>
      <c r="C9" s="18" t="s">
        <v>20</v>
      </c>
      <c r="D9" s="19" t="s">
        <v>21</v>
      </c>
      <c r="E9" s="19" t="s">
        <v>22</v>
      </c>
      <c r="F9" s="20">
        <v>7</v>
      </c>
    </row>
    <row r="10" spans="2:6" ht="39.75" customHeight="1" x14ac:dyDescent="0.2">
      <c r="B10" s="9"/>
      <c r="C10" s="18" t="s">
        <v>23</v>
      </c>
      <c r="D10" s="19" t="s">
        <v>22</v>
      </c>
      <c r="E10" s="19" t="s">
        <v>24</v>
      </c>
      <c r="F10" s="20">
        <v>5</v>
      </c>
    </row>
    <row r="11" spans="2:6" ht="39.75" customHeight="1" x14ac:dyDescent="0.2">
      <c r="B11" s="8" t="s">
        <v>25</v>
      </c>
      <c r="C11" s="21" t="s">
        <v>26</v>
      </c>
      <c r="D11" s="22" t="s">
        <v>21</v>
      </c>
      <c r="E11" s="22" t="s">
        <v>24</v>
      </c>
      <c r="F11" s="23">
        <v>10</v>
      </c>
    </row>
    <row r="12" spans="2:6" ht="39.75" customHeight="1" x14ac:dyDescent="0.2">
      <c r="B12" s="8"/>
      <c r="C12" s="21" t="s">
        <v>27</v>
      </c>
      <c r="D12" s="22" t="s">
        <v>28</v>
      </c>
      <c r="E12" s="22" t="s">
        <v>29</v>
      </c>
      <c r="F12" s="23">
        <v>12</v>
      </c>
    </row>
    <row r="13" spans="2:6" ht="39.75" customHeight="1" x14ac:dyDescent="0.2">
      <c r="B13" s="8"/>
      <c r="C13" s="21" t="s">
        <v>30</v>
      </c>
      <c r="D13" s="22" t="s">
        <v>28</v>
      </c>
      <c r="E13" s="22" t="s">
        <v>29</v>
      </c>
      <c r="F13" s="23">
        <v>10</v>
      </c>
    </row>
    <row r="14" spans="2:6" ht="39.75" customHeight="1" x14ac:dyDescent="0.2">
      <c r="B14" s="8"/>
      <c r="C14" s="21" t="s">
        <v>31</v>
      </c>
      <c r="D14" s="22" t="s">
        <v>32</v>
      </c>
      <c r="E14" s="22" t="s">
        <v>33</v>
      </c>
      <c r="F14" s="23">
        <v>8</v>
      </c>
    </row>
    <row r="15" spans="2:6" s="11" customFormat="1" ht="39.75" customHeight="1" x14ac:dyDescent="0.2">
      <c r="B15" s="8"/>
      <c r="C15" s="21" t="s">
        <v>34</v>
      </c>
      <c r="D15" s="23" t="s">
        <v>32</v>
      </c>
      <c r="E15" s="23" t="s">
        <v>33</v>
      </c>
      <c r="F15" s="23">
        <v>10</v>
      </c>
    </row>
    <row r="16" spans="2:6" s="11" customFormat="1" ht="39.75" customHeight="1" x14ac:dyDescent="0.2">
      <c r="B16" s="8"/>
      <c r="C16" s="21" t="s">
        <v>35</v>
      </c>
      <c r="D16" s="23" t="s">
        <v>36</v>
      </c>
      <c r="E16" s="23" t="s">
        <v>37</v>
      </c>
      <c r="F16" s="23">
        <v>12</v>
      </c>
    </row>
    <row r="17" spans="2:6" s="11" customFormat="1" ht="39.75" customHeight="1" x14ac:dyDescent="0.2">
      <c r="B17" s="8"/>
      <c r="C17" s="21" t="s">
        <v>38</v>
      </c>
      <c r="D17" s="23" t="s">
        <v>36</v>
      </c>
      <c r="E17" s="23" t="s">
        <v>37</v>
      </c>
      <c r="F17" s="23">
        <v>8</v>
      </c>
    </row>
    <row r="18" spans="2:6" s="11" customFormat="1" ht="39.75" customHeight="1" x14ac:dyDescent="0.2">
      <c r="B18" s="7" t="s">
        <v>39</v>
      </c>
      <c r="C18" s="24" t="s">
        <v>40</v>
      </c>
      <c r="D18" s="25" t="s">
        <v>41</v>
      </c>
      <c r="E18" s="25" t="s">
        <v>42</v>
      </c>
      <c r="F18" s="25">
        <v>15</v>
      </c>
    </row>
    <row r="19" spans="2:6" s="11" customFormat="1" ht="39.75" customHeight="1" x14ac:dyDescent="0.2">
      <c r="B19" s="7"/>
      <c r="C19" s="24" t="s">
        <v>43</v>
      </c>
      <c r="D19" s="25" t="s">
        <v>41</v>
      </c>
      <c r="E19" s="25" t="s">
        <v>44</v>
      </c>
      <c r="F19" s="25">
        <v>20</v>
      </c>
    </row>
    <row r="20" spans="2:6" s="11" customFormat="1" ht="39.75" customHeight="1" x14ac:dyDescent="0.2">
      <c r="B20" s="7"/>
      <c r="C20" s="24" t="s">
        <v>45</v>
      </c>
      <c r="D20" s="25" t="s">
        <v>46</v>
      </c>
      <c r="E20" s="25" t="s">
        <v>47</v>
      </c>
      <c r="F20" s="25">
        <v>10</v>
      </c>
    </row>
    <row r="21" spans="2:6" s="11" customFormat="1" ht="39.75" customHeight="1" x14ac:dyDescent="0.2">
      <c r="B21" s="6" t="s">
        <v>48</v>
      </c>
      <c r="C21" s="26" t="s">
        <v>49</v>
      </c>
      <c r="D21" s="27" t="s">
        <v>46</v>
      </c>
      <c r="E21" s="27" t="s">
        <v>50</v>
      </c>
      <c r="F21" s="27">
        <v>12</v>
      </c>
    </row>
    <row r="22" spans="2:6" s="11" customFormat="1" ht="39.75" customHeight="1" x14ac:dyDescent="0.2">
      <c r="B22" s="6"/>
      <c r="C22" s="26" t="s">
        <v>51</v>
      </c>
      <c r="D22" s="27" t="s">
        <v>52</v>
      </c>
      <c r="E22" s="27" t="s">
        <v>53</v>
      </c>
      <c r="F22" s="27">
        <v>13</v>
      </c>
    </row>
    <row r="23" spans="2:6" s="11" customFormat="1" ht="39.75" customHeight="1" x14ac:dyDescent="0.2">
      <c r="B23" s="6"/>
      <c r="C23" s="26" t="s">
        <v>54</v>
      </c>
      <c r="D23" s="27" t="s">
        <v>55</v>
      </c>
      <c r="E23" s="27" t="s">
        <v>56</v>
      </c>
      <c r="F23" s="27">
        <v>10</v>
      </c>
    </row>
    <row r="24" spans="2:6" s="11" customFormat="1" ht="39.75" customHeight="1" x14ac:dyDescent="0.2">
      <c r="B24" s="5" t="s">
        <v>57</v>
      </c>
      <c r="C24" s="28" t="s">
        <v>58</v>
      </c>
      <c r="D24" s="29" t="s">
        <v>59</v>
      </c>
      <c r="E24" s="29" t="s">
        <v>60</v>
      </c>
      <c r="F24" s="29">
        <v>8</v>
      </c>
    </row>
    <row r="25" spans="2:6" s="11" customFormat="1" ht="39.75" customHeight="1" x14ac:dyDescent="0.2">
      <c r="B25" s="5"/>
      <c r="C25" s="28" t="s">
        <v>61</v>
      </c>
      <c r="D25" s="29" t="s">
        <v>59</v>
      </c>
      <c r="E25" s="29" t="s">
        <v>62</v>
      </c>
      <c r="F25" s="29">
        <v>14</v>
      </c>
    </row>
    <row r="26" spans="2:6" s="11" customFormat="1" ht="39.75" customHeight="1" x14ac:dyDescent="0.2">
      <c r="B26" s="5"/>
      <c r="C26" s="28" t="s">
        <v>63</v>
      </c>
      <c r="D26" s="29" t="s">
        <v>64</v>
      </c>
      <c r="E26" s="29" t="s">
        <v>65</v>
      </c>
      <c r="F26" s="29">
        <v>8</v>
      </c>
    </row>
    <row r="27" spans="2:6" s="11" customFormat="1" ht="39.75" customHeight="1" x14ac:dyDescent="0.2">
      <c r="B27" s="5"/>
      <c r="C27" s="28" t="s">
        <v>66</v>
      </c>
      <c r="D27" s="29" t="s">
        <v>65</v>
      </c>
      <c r="E27" s="29" t="s">
        <v>67</v>
      </c>
      <c r="F27" s="29">
        <v>5</v>
      </c>
    </row>
    <row r="28" spans="2:6" s="11" customFormat="1" ht="39.75" customHeight="1" x14ac:dyDescent="0.2">
      <c r="B28" s="4" t="s">
        <v>68</v>
      </c>
      <c r="C28" s="30" t="s">
        <v>69</v>
      </c>
      <c r="D28" s="31" t="s">
        <v>70</v>
      </c>
      <c r="E28" s="31" t="s">
        <v>71</v>
      </c>
      <c r="F28" s="31">
        <v>9</v>
      </c>
    </row>
    <row r="29" spans="2:6" s="11" customFormat="1" ht="39.75" customHeight="1" x14ac:dyDescent="0.2">
      <c r="B29" s="4"/>
      <c r="C29" s="30" t="s">
        <v>72</v>
      </c>
      <c r="D29" s="31" t="s">
        <v>73</v>
      </c>
      <c r="E29" s="31" t="s">
        <v>74</v>
      </c>
      <c r="F29" s="31">
        <v>8</v>
      </c>
    </row>
    <row r="30" spans="2:6" s="11" customFormat="1" ht="39.75" customHeight="1" x14ac:dyDescent="0.2">
      <c r="B30" s="4"/>
      <c r="C30" s="30" t="s">
        <v>75</v>
      </c>
      <c r="D30" s="31" t="s">
        <v>74</v>
      </c>
      <c r="E30" s="31" t="s">
        <v>74</v>
      </c>
      <c r="F30" s="31">
        <v>8</v>
      </c>
    </row>
    <row r="31" spans="2:6" s="11" customFormat="1" ht="39.75" customHeight="1" x14ac:dyDescent="0.2">
      <c r="B31" s="3" t="s">
        <v>76</v>
      </c>
      <c r="C31" s="32" t="s">
        <v>77</v>
      </c>
      <c r="D31" s="33" t="s">
        <v>78</v>
      </c>
      <c r="E31" s="33" t="s">
        <v>79</v>
      </c>
      <c r="F31" s="33">
        <v>10</v>
      </c>
    </row>
    <row r="32" spans="2:6" s="11" customFormat="1" ht="39.75" customHeight="1" x14ac:dyDescent="0.2">
      <c r="B32" s="3"/>
      <c r="C32" s="32" t="s">
        <v>80</v>
      </c>
      <c r="D32" s="33" t="s">
        <v>81</v>
      </c>
      <c r="E32" s="33" t="s">
        <v>82</v>
      </c>
      <c r="F32" s="33">
        <v>9</v>
      </c>
    </row>
    <row r="33" spans="2:6" s="11" customFormat="1" ht="39.75" customHeight="1" x14ac:dyDescent="0.2">
      <c r="B33" s="3"/>
      <c r="C33" s="32" t="s">
        <v>83</v>
      </c>
      <c r="D33" s="33" t="s">
        <v>82</v>
      </c>
      <c r="E33" s="33" t="s">
        <v>84</v>
      </c>
      <c r="F33" s="33">
        <v>6</v>
      </c>
    </row>
    <row r="34" spans="2:6" s="11" customFormat="1" ht="39.75" customHeight="1" x14ac:dyDescent="0.2">
      <c r="B34" s="2" t="s">
        <v>85</v>
      </c>
      <c r="C34" s="34" t="s">
        <v>86</v>
      </c>
      <c r="D34" s="35" t="s">
        <v>87</v>
      </c>
      <c r="E34" s="35" t="s">
        <v>88</v>
      </c>
      <c r="F34" s="35">
        <v>12</v>
      </c>
    </row>
    <row r="35" spans="2:6" s="11" customFormat="1" ht="39.75" customHeight="1" x14ac:dyDescent="0.2">
      <c r="B35" s="2"/>
      <c r="C35" s="34" t="s">
        <v>89</v>
      </c>
      <c r="D35" s="35" t="s">
        <v>88</v>
      </c>
      <c r="E35" s="35" t="s">
        <v>90</v>
      </c>
      <c r="F35" s="35">
        <v>5</v>
      </c>
    </row>
    <row r="36" spans="2:6" s="11" customFormat="1" ht="39.75" customHeight="1" x14ac:dyDescent="0.2">
      <c r="B36" s="2"/>
      <c r="C36" s="34" t="s">
        <v>91</v>
      </c>
      <c r="D36" s="35" t="s">
        <v>90</v>
      </c>
      <c r="E36" s="35" t="s">
        <v>90</v>
      </c>
      <c r="F36" s="35">
        <v>3</v>
      </c>
    </row>
    <row r="37" spans="2:6" s="11" customFormat="1" ht="21.75" customHeight="1" x14ac:dyDescent="0.2">
      <c r="B37" s="1" t="s">
        <v>92</v>
      </c>
      <c r="C37" s="1"/>
      <c r="D37" s="1"/>
      <c r="E37" s="1"/>
      <c r="F37" s="36">
        <f>SUM(F3:F36)</f>
        <v>300</v>
      </c>
    </row>
    <row r="38" spans="2:6" s="11" customFormat="1" x14ac:dyDescent="0.2"/>
    <row r="39" spans="2:6" s="11" customFormat="1" x14ac:dyDescent="0.2"/>
    <row r="40" spans="2:6" s="11" customFormat="1" x14ac:dyDescent="0.2"/>
    <row r="41" spans="2:6" s="11" customFormat="1" x14ac:dyDescent="0.2"/>
    <row r="42" spans="2:6" s="11" customFormat="1" x14ac:dyDescent="0.2"/>
    <row r="43" spans="2:6" s="11" customFormat="1" x14ac:dyDescent="0.2"/>
    <row r="44" spans="2:6" s="11" customFormat="1" x14ac:dyDescent="0.2"/>
    <row r="45" spans="2:6" s="11" customFormat="1" x14ac:dyDescent="0.2"/>
    <row r="46" spans="2:6" s="11" customFormat="1" x14ac:dyDescent="0.2"/>
    <row r="47" spans="2:6" s="11" customFormat="1" x14ac:dyDescent="0.2"/>
    <row r="48" spans="2:6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</sheetData>
  <mergeCells count="10">
    <mergeCell ref="B24:B27"/>
    <mergeCell ref="B28:B30"/>
    <mergeCell ref="B31:B33"/>
    <mergeCell ref="B34:B36"/>
    <mergeCell ref="B37:E37"/>
    <mergeCell ref="B3:B6"/>
    <mergeCell ref="B7:B10"/>
    <mergeCell ref="B11:B17"/>
    <mergeCell ref="B18:B20"/>
    <mergeCell ref="B21:B2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Kulkarni, Yash</cp:lastModifiedBy>
  <cp:revision>0</cp:revision>
  <dcterms:created xsi:type="dcterms:W3CDTF">2023-04-14T14:10:05Z</dcterms:created>
  <dcterms:modified xsi:type="dcterms:W3CDTF">2026-05-10T14:31:33Z</dcterms:modified>
  <dc:language>en-US</dc:language>
</cp:coreProperties>
</file>